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U\Desktop\Kaviya\AC Receivables\FY 26-27\Receivables\Client wise outstanding\23 05 2026\"/>
    </mc:Choice>
  </mc:AlternateContent>
  <xr:revisionPtr revIDLastSave="0" documentId="13_ncr:1_{428F6166-4B22-4218-92E6-03EBEEBD761E}" xr6:coauthVersionLast="47" xr6:coauthVersionMax="47" xr10:uidLastSave="{00000000-0000-0000-0000-000000000000}"/>
  <bookViews>
    <workbookView xWindow="-108" yWindow="-108" windowWidth="23256" windowHeight="12456" xr2:uid="{B5BFA4D0-C2A1-441A-A1FE-E712F5215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E11" i="1"/>
  <c r="K10" i="1"/>
  <c r="F10" i="1"/>
  <c r="F9" i="1"/>
  <c r="K8" i="1"/>
  <c r="F8" i="1"/>
  <c r="F7" i="1"/>
  <c r="F6" i="1"/>
  <c r="F11" i="1" s="1"/>
  <c r="K1" i="1"/>
  <c r="K7" i="1" s="1"/>
  <c r="K9" i="1" l="1"/>
  <c r="K6" i="1"/>
</calcChain>
</file>

<file path=xl/sharedStrings.xml><?xml version="1.0" encoding="utf-8"?>
<sst xmlns="http://schemas.openxmlformats.org/spreadsheetml/2006/main" count="29" uniqueCount="27">
  <si>
    <t>Customer Name</t>
  </si>
  <si>
    <t xml:space="preserve">Blue Planet Inc </t>
  </si>
  <si>
    <t>Sl. No.</t>
  </si>
  <si>
    <t>Invoice Date</t>
  </si>
  <si>
    <t>Invoice no.</t>
  </si>
  <si>
    <t>Invoice Value</t>
  </si>
  <si>
    <t>Received</t>
  </si>
  <si>
    <t>Balance</t>
  </si>
  <si>
    <t>Payment Terms</t>
  </si>
  <si>
    <t>Container No</t>
  </si>
  <si>
    <t>ETA/ Due Date</t>
  </si>
  <si>
    <t>Overdue days</t>
  </si>
  <si>
    <t>Remarks</t>
  </si>
  <si>
    <t>PESPL/0613</t>
  </si>
  <si>
    <t>120 Days From The Date Of BL</t>
  </si>
  <si>
    <t>SEGU 259836-0</t>
  </si>
  <si>
    <t>PESPL/0616</t>
  </si>
  <si>
    <t>MSKU 732789-7</t>
  </si>
  <si>
    <t>PESPL/0736</t>
  </si>
  <si>
    <t>BSIU 225908-7</t>
  </si>
  <si>
    <t>PESPL/1039</t>
  </si>
  <si>
    <t>100% At Cash Against Documents (CAD)</t>
  </si>
  <si>
    <t>TRHU 296480-7</t>
  </si>
  <si>
    <t>PESPL/1062</t>
  </si>
  <si>
    <t>70% Cash Against Documents (CAD), Balance 30% at 90 Days</t>
  </si>
  <si>
    <t>MSKU 560516-0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</si>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</sst>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4" fontId="4" fillId="0" borderId="1" xfId="1" applyNumberFormat="1" applyFont="1" applyFill="1" applyBorder="1" applyAlignment="1">
      <alignment horizontal="center" vertical="center"/>
    </xf>
    <xf numFmtId="2" fontId="2" fillId="0" borderId="1" xfId="0" applyNumberFormat="1" applyFont="1" applyBorder="1"/>
    <xf numFmtId="164" fontId="5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55E0-8F0C-469F-90A8-C67189CB1505}">
  <dimension ref="B1:L11"/>
  <sheetViews>
    <sheetView showGridLines="0" tabSelected="1" workbookViewId="0"/>
  </sheetViews>
  <sheetFormatPr defaultRowHeight="14.4" x14ac:dyDescent="0.3"/>
  <cols>
    <col min="2" max="2" width="5.21875" bestFit="1" customWidth="1"/>
    <col min="3" max="3" width="10.33203125" customWidth="1"/>
    <col min="4" max="4" width="12.88671875" customWidth="1"/>
    <col min="5" max="5" width="11.88671875" customWidth="1"/>
    <col min="6" max="6" width="14.44140625" customWidth="1"/>
    <col min="7" max="7" width="12.5546875" customWidth="1"/>
    <col min="8" max="8" width="42.21875" bestFit="1" customWidth="1"/>
    <col min="9" max="9" width="11.109375" bestFit="1" customWidth="1"/>
    <col min="10" max="10" width="10.6640625" bestFit="1" customWidth="1"/>
    <col min="11" max="11" width="10.21875" bestFit="1" customWidth="1"/>
    <col min="12" max="12" width="6.66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2">
        <f ca="1">TODAY()</f>
        <v>46178</v>
      </c>
      <c r="L1" s="1"/>
    </row>
    <row r="2" spans="2:12" x14ac:dyDescent="0.3">
      <c r="B2" s="13" t="s">
        <v>0</v>
      </c>
      <c r="C2" s="13"/>
      <c r="D2" s="13"/>
      <c r="E2" s="14" t="s">
        <v>1</v>
      </c>
      <c r="F2" s="14"/>
      <c r="G2" s="1"/>
      <c r="H2" s="1"/>
      <c r="I2" s="1"/>
      <c r="J2" s="1"/>
      <c r="K2" s="1"/>
      <c r="L2" s="1"/>
    </row>
    <row r="3" spans="2:12" x14ac:dyDescent="0.3">
      <c r="B3" s="1"/>
      <c r="C3" s="1"/>
      <c r="D3" s="1"/>
      <c r="E3" s="1"/>
      <c r="F3" s="1"/>
      <c r="G3" s="1"/>
      <c r="H3" s="1"/>
      <c r="I3" s="1"/>
      <c r="J3" s="1"/>
      <c r="K3" s="2"/>
      <c r="L3" s="1"/>
    </row>
    <row r="4" spans="2:12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</row>
    <row r="6" spans="2:12" x14ac:dyDescent="0.3">
      <c r="B6" s="4">
        <v>1</v>
      </c>
      <c r="C6" s="5">
        <v>45460</v>
      </c>
      <c r="D6" s="6" t="s">
        <v>13</v>
      </c>
      <c r="E6" s="7">
        <v>53153.57</v>
      </c>
      <c r="F6" s="8">
        <f>+E6-G6</f>
        <v>0</v>
      </c>
      <c r="G6" s="9">
        <v>53153.57</v>
      </c>
      <c r="H6" s="4" t="s">
        <v>14</v>
      </c>
      <c r="I6" s="4" t="s">
        <v>15</v>
      </c>
      <c r="J6" s="5">
        <v>45588</v>
      </c>
      <c r="K6" s="10">
        <f ca="1">+$K$1-J6</f>
        <v>590</v>
      </c>
      <c r="L6" s="4"/>
    </row>
    <row r="7" spans="2:12" x14ac:dyDescent="0.3">
      <c r="B7" s="4">
        <v>2</v>
      </c>
      <c r="C7" s="5">
        <v>45461</v>
      </c>
      <c r="D7" s="6" t="s">
        <v>16</v>
      </c>
      <c r="E7" s="7">
        <v>26370.33</v>
      </c>
      <c r="F7" s="8">
        <f>+E7-G7</f>
        <v>25675.9</v>
      </c>
      <c r="G7" s="9">
        <v>694.43000000000029</v>
      </c>
      <c r="H7" s="4" t="s">
        <v>14</v>
      </c>
      <c r="I7" s="4" t="s">
        <v>17</v>
      </c>
      <c r="J7" s="5">
        <v>45642</v>
      </c>
      <c r="K7" s="10">
        <f ca="1">+$K$1-J7</f>
        <v>536</v>
      </c>
      <c r="L7" s="4"/>
    </row>
    <row r="8" spans="2:12" x14ac:dyDescent="0.3">
      <c r="B8" s="4">
        <v>3</v>
      </c>
      <c r="C8" s="5">
        <v>45573</v>
      </c>
      <c r="D8" s="6" t="s">
        <v>18</v>
      </c>
      <c r="E8" s="7">
        <v>52252.67</v>
      </c>
      <c r="F8" s="8">
        <f>+E8-G8</f>
        <v>0</v>
      </c>
      <c r="G8" s="9">
        <v>52252.67</v>
      </c>
      <c r="H8" s="4" t="s">
        <v>14</v>
      </c>
      <c r="I8" s="4" t="s">
        <v>19</v>
      </c>
      <c r="J8" s="5">
        <v>45685</v>
      </c>
      <c r="K8" s="10">
        <f ca="1">+$K$1-J8</f>
        <v>493</v>
      </c>
      <c r="L8" s="4"/>
    </row>
    <row r="9" spans="2:12" x14ac:dyDescent="0.3">
      <c r="B9" s="4">
        <v>4</v>
      </c>
      <c r="C9" s="5">
        <v>45603</v>
      </c>
      <c r="D9" s="6" t="s">
        <v>20</v>
      </c>
      <c r="E9" s="7">
        <v>37838.14</v>
      </c>
      <c r="F9" s="8">
        <f>+E9-G9</f>
        <v>30000</v>
      </c>
      <c r="G9" s="9">
        <v>7838.1399999999994</v>
      </c>
      <c r="H9" s="4" t="s">
        <v>21</v>
      </c>
      <c r="I9" s="4" t="s">
        <v>22</v>
      </c>
      <c r="J9" s="5">
        <v>45589</v>
      </c>
      <c r="K9" s="10">
        <f ca="1">+$K$1-J9</f>
        <v>589</v>
      </c>
      <c r="L9" s="4"/>
    </row>
    <row r="10" spans="2:12" x14ac:dyDescent="0.3">
      <c r="B10" s="4">
        <v>5</v>
      </c>
      <c r="C10" s="5">
        <v>45609</v>
      </c>
      <c r="D10" s="6" t="s">
        <v>23</v>
      </c>
      <c r="E10" s="7">
        <v>26126.33</v>
      </c>
      <c r="F10" s="8">
        <f>+E10-G10</f>
        <v>18288.2</v>
      </c>
      <c r="G10" s="9">
        <v>7838.130000000001</v>
      </c>
      <c r="H10" s="4" t="s">
        <v>24</v>
      </c>
      <c r="I10" s="4" t="s">
        <v>25</v>
      </c>
      <c r="J10" s="5">
        <v>45659</v>
      </c>
      <c r="K10" s="10">
        <f ca="1">+$K$1-J10</f>
        <v>519</v>
      </c>
      <c r="L10" s="4"/>
    </row>
    <row r="11" spans="2:12" x14ac:dyDescent="0.3">
      <c r="B11" s="15" t="s">
        <v>26</v>
      </c>
      <c r="C11" s="15"/>
      <c r="D11" s="15"/>
      <c r="E11" s="11">
        <f>SUM(E6:E10)</f>
        <v>195741.04000000004</v>
      </c>
      <c r="F11" s="11">
        <f>SUM(F6:F10)</f>
        <v>73964.100000000006</v>
      </c>
      <c r="G11" s="11">
        <f>SUM(G6:G10)</f>
        <v>121776.94</v>
      </c>
      <c r="H11" s="12"/>
      <c r="I11" s="12"/>
      <c r="J11" s="12"/>
      <c r="K11" s="12"/>
      <c r="L11" s="12"/>
    </row>
  </sheetData>
  <mergeCells count="3">
    <mergeCell ref="B2:D2"/>
    <mergeCell ref="E2:F2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</dc:creator>
  <cp:lastModifiedBy>DHANU</cp:lastModifiedBy>
  <dcterms:created xsi:type="dcterms:W3CDTF">2026-06-05T12:27:23Z</dcterms:created>
  <dcterms:modified xsi:type="dcterms:W3CDTF">2026-06-05T12:31:02Z</dcterms:modified>
</cp:coreProperties>
</file>