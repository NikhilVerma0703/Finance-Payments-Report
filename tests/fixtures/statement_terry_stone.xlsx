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ance2\Downloads\"/>
    </mc:Choice>
  </mc:AlternateContent>
  <xr:revisionPtr revIDLastSave="0" documentId="13_ncr:1_{B66CD835-ABC7-41A6-B225-BC99E218950C}" xr6:coauthVersionLast="47" xr6:coauthVersionMax="47" xr10:uidLastSave="{00000000-0000-0000-0000-000000000000}"/>
  <bookViews>
    <workbookView xWindow="-108" yWindow="-108" windowWidth="23256" windowHeight="12456" xr2:uid="{D08F9DED-0460-4B13-94C9-40BC2EBF4422}"/>
  </bookViews>
  <sheets>
    <sheet name="Terry Stone (03-10-26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8" i="1" l="1"/>
  <c r="I58" i="1"/>
  <c r="H58" i="1"/>
  <c r="G58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G27" i="1"/>
  <c r="H27" i="1"/>
  <c r="J27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G55" i="1"/>
  <c r="H55" i="1"/>
  <c r="J55" i="1"/>
</calcChain>
</file>

<file path=xl/sharedStrings.xml><?xml version="1.0" encoding="utf-8"?>
<sst xmlns="http://schemas.openxmlformats.org/spreadsheetml/2006/main" count="134" uniqueCount="61">
  <si>
    <t>TOTAL</t>
  </si>
  <si>
    <t>PESPL/2132</t>
  </si>
  <si>
    <t>PESPL/2131</t>
  </si>
  <si>
    <t>Diverted Containers</t>
  </si>
  <si>
    <t>PESPL/2096</t>
  </si>
  <si>
    <t>B6001</t>
  </si>
  <si>
    <t>PESPL/2006</t>
  </si>
  <si>
    <t>B5012</t>
  </si>
  <si>
    <t>PESPL/2005</t>
  </si>
  <si>
    <t>B5011</t>
  </si>
  <si>
    <t>PESPL/1989</t>
  </si>
  <si>
    <t>B5010</t>
  </si>
  <si>
    <t>PESPL/1988</t>
  </si>
  <si>
    <t>B5009</t>
  </si>
  <si>
    <t>PESPL/1980</t>
  </si>
  <si>
    <t>B5007</t>
  </si>
  <si>
    <t>PESPL/1979</t>
  </si>
  <si>
    <t>B5006</t>
  </si>
  <si>
    <t>Received as part of $ 79,054.68</t>
  </si>
  <si>
    <t>PESPL/1959</t>
  </si>
  <si>
    <t>B5020</t>
  </si>
  <si>
    <t>PESPL/1958</t>
  </si>
  <si>
    <t>B5019</t>
  </si>
  <si>
    <t>PESPL/1957</t>
  </si>
  <si>
    <t>B5022</t>
  </si>
  <si>
    <t>PESPL/1956</t>
  </si>
  <si>
    <t>B5021</t>
  </si>
  <si>
    <t>Received $ 26,351.56</t>
  </si>
  <si>
    <t>PESPL/1955</t>
  </si>
  <si>
    <t>B5008</t>
  </si>
  <si>
    <t>PESPL/1950</t>
  </si>
  <si>
    <t>B5018</t>
  </si>
  <si>
    <t>PESPL/1949</t>
  </si>
  <si>
    <t>B5017</t>
  </si>
  <si>
    <t>PESPL/1948</t>
  </si>
  <si>
    <t>B5016</t>
  </si>
  <si>
    <t>PESPL/1929</t>
  </si>
  <si>
    <t>B5015</t>
  </si>
  <si>
    <t>PESPL/1928</t>
  </si>
  <si>
    <t>B5014</t>
  </si>
  <si>
    <t>Received as part of $ 52,703.10</t>
  </si>
  <si>
    <t>PESPL/1927</t>
  </si>
  <si>
    <t>B5013</t>
  </si>
  <si>
    <t>PESPL/1920</t>
  </si>
  <si>
    <t>B5005</t>
  </si>
  <si>
    <t>PESPL/1919</t>
  </si>
  <si>
    <t>B5004</t>
  </si>
  <si>
    <t>PESPL/1918</t>
  </si>
  <si>
    <t>B5003</t>
  </si>
  <si>
    <t>Remarks</t>
  </si>
  <si>
    <t>Balance</t>
  </si>
  <si>
    <t>Receipt Date</t>
  </si>
  <si>
    <t>Received</t>
  </si>
  <si>
    <t>Customer Invoice value</t>
  </si>
  <si>
    <t>Invoice no.</t>
  </si>
  <si>
    <t>PO No</t>
  </si>
  <si>
    <t>Invoice Date</t>
  </si>
  <si>
    <t>Sl. No.</t>
  </si>
  <si>
    <t>As per PESPL records 03-10-2026</t>
  </si>
  <si>
    <t>Received $52,703.10</t>
  </si>
  <si>
    <t>As per Customers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</si>
</sst>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2" fontId="0" fillId="0" borderId="0" xfId="0" applyNumberFormat="1"/>
    <xf numFmtId="164" fontId="0" fillId="0" borderId="0" xfId="0" applyNumberFormat="1"/>
    <xf numFmtId="0" fontId="3" fillId="2" borderId="1" xfId="0" applyFont="1" applyFill="1" applyBorder="1"/>
    <xf numFmtId="164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5" fontId="3" fillId="2" borderId="6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5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4" fontId="5" fillId="0" borderId="0" xfId="0" applyNumberFormat="1" applyFont="1"/>
    <xf numFmtId="0" fontId="3" fillId="2" borderId="7" xfId="0" applyFont="1" applyFill="1" applyBorder="1"/>
    <xf numFmtId="164" fontId="3" fillId="2" borderId="7" xfId="0" applyNumberFormat="1" applyFont="1" applyFill="1" applyBorder="1" applyAlignment="1">
      <alignment horizontal="center" vertical="center"/>
    </xf>
    <xf numFmtId="15" fontId="3" fillId="2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14" xfId="0" applyFont="1" applyFill="1" applyBorder="1"/>
    <xf numFmtId="164" fontId="3" fillId="2" borderId="0" xfId="1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15" fontId="3" fillId="2" borderId="10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15" fontId="3" fillId="2" borderId="1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/>
    <xf numFmtId="164" fontId="6" fillId="0" borderId="6" xfId="1" applyNumberFormat="1" applyFont="1" applyFill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/>
    <xf numFmtId="164" fontId="3" fillId="0" borderId="6" xfId="1" applyNumberFormat="1" applyFont="1" applyFill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0" borderId="1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4068-BFAF-4DA6-8B9F-96A52A248F9B}">
  <dimension ref="C2:K59"/>
  <sheetViews>
    <sheetView showGridLines="0" tabSelected="1" topLeftCell="A33" zoomScaleNormal="100" workbookViewId="0">
      <selection activeCell="J59" sqref="J59"/>
    </sheetView>
  </sheetViews>
  <sheetFormatPr defaultRowHeight="14.4" x14ac:dyDescent="0.3"/>
  <cols>
    <col min="3" max="3" width="6.44140625" bestFit="1" customWidth="1"/>
    <col min="4" max="4" width="11.44140625" bestFit="1" customWidth="1"/>
    <col min="5" max="5" width="16.44140625" bestFit="1" customWidth="1"/>
    <col min="6" max="6" width="10.5546875" bestFit="1" customWidth="1"/>
    <col min="7" max="7" width="20.88671875" bestFit="1" customWidth="1"/>
    <col min="8" max="8" width="17" bestFit="1" customWidth="1"/>
    <col min="9" max="9" width="11.5546875" bestFit="1" customWidth="1"/>
    <col min="10" max="10" width="17.33203125" style="1" bestFit="1" customWidth="1"/>
    <col min="11" max="11" width="26.88671875" bestFit="1" customWidth="1"/>
  </cols>
  <sheetData>
    <row r="2" spans="3:11" x14ac:dyDescent="0.3">
      <c r="C2" s="50" t="s">
        <v>60</v>
      </c>
      <c r="D2" s="51"/>
      <c r="E2" s="51"/>
      <c r="F2" s="51"/>
      <c r="G2" s="51"/>
      <c r="H2" s="51"/>
      <c r="I2" s="51"/>
      <c r="J2" s="51"/>
      <c r="K2" s="46"/>
    </row>
    <row r="3" spans="3:11" x14ac:dyDescent="0.3">
      <c r="C3" s="44" t="s">
        <v>57</v>
      </c>
      <c r="D3" s="6" t="s">
        <v>56</v>
      </c>
      <c r="E3" s="6" t="s">
        <v>55</v>
      </c>
      <c r="F3" s="6" t="s">
        <v>54</v>
      </c>
      <c r="G3" s="6" t="s">
        <v>53</v>
      </c>
      <c r="H3" s="6" t="s">
        <v>52</v>
      </c>
      <c r="I3" s="6" t="s">
        <v>51</v>
      </c>
      <c r="J3" s="45" t="s">
        <v>50</v>
      </c>
      <c r="K3" s="44" t="s">
        <v>49</v>
      </c>
    </row>
    <row r="4" spans="3:11" x14ac:dyDescent="0.3">
      <c r="C4" s="32">
        <v>1</v>
      </c>
      <c r="D4" s="41">
        <v>45924</v>
      </c>
      <c r="E4" s="43" t="s">
        <v>48</v>
      </c>
      <c r="F4" s="43" t="s">
        <v>47</v>
      </c>
      <c r="G4" s="42">
        <v>26756.97</v>
      </c>
      <c r="H4" s="42">
        <v>26351.56</v>
      </c>
      <c r="I4" s="41">
        <v>46079</v>
      </c>
      <c r="J4" s="40">
        <f t="shared" ref="J4:J24" si="0">+G4-H4</f>
        <v>405.40999999999985</v>
      </c>
      <c r="K4" s="39" t="s">
        <v>18</v>
      </c>
    </row>
    <row r="5" spans="3:11" x14ac:dyDescent="0.3">
      <c r="C5" s="32">
        <v>2</v>
      </c>
      <c r="D5" s="41">
        <v>45924</v>
      </c>
      <c r="E5" s="43" t="s">
        <v>46</v>
      </c>
      <c r="F5" s="43" t="s">
        <v>45</v>
      </c>
      <c r="G5" s="42">
        <v>26756.97</v>
      </c>
      <c r="H5" s="42">
        <v>26351.56</v>
      </c>
      <c r="I5" s="41">
        <v>46121</v>
      </c>
      <c r="J5" s="40">
        <f t="shared" si="0"/>
        <v>405.40999999999985</v>
      </c>
      <c r="K5" s="39" t="s">
        <v>40</v>
      </c>
    </row>
    <row r="6" spans="3:11" x14ac:dyDescent="0.3">
      <c r="C6" s="32">
        <v>3</v>
      </c>
      <c r="D6" s="41">
        <v>45924</v>
      </c>
      <c r="E6" s="43" t="s">
        <v>44</v>
      </c>
      <c r="F6" s="43" t="s">
        <v>43</v>
      </c>
      <c r="G6" s="42">
        <v>26756.97</v>
      </c>
      <c r="H6" s="42">
        <v>26351.56</v>
      </c>
      <c r="I6" s="41">
        <v>46121</v>
      </c>
      <c r="J6" s="40">
        <f t="shared" si="0"/>
        <v>405.40999999999985</v>
      </c>
      <c r="K6" s="39" t="s">
        <v>40</v>
      </c>
    </row>
    <row r="7" spans="3:11" x14ac:dyDescent="0.3">
      <c r="C7" s="32">
        <v>4</v>
      </c>
      <c r="D7" s="41">
        <v>45928</v>
      </c>
      <c r="E7" s="43" t="s">
        <v>42</v>
      </c>
      <c r="F7" s="43" t="s">
        <v>41</v>
      </c>
      <c r="G7" s="42">
        <v>26756.97</v>
      </c>
      <c r="H7" s="42">
        <v>26351.56</v>
      </c>
      <c r="I7" s="41">
        <v>46155</v>
      </c>
      <c r="J7" s="40">
        <f t="shared" si="0"/>
        <v>405.40999999999985</v>
      </c>
      <c r="K7" s="39" t="s">
        <v>27</v>
      </c>
    </row>
    <row r="8" spans="3:11" x14ac:dyDescent="0.3">
      <c r="C8" s="32">
        <v>5</v>
      </c>
      <c r="D8" s="41">
        <v>45928</v>
      </c>
      <c r="E8" s="43" t="s">
        <v>39</v>
      </c>
      <c r="F8" s="43" t="s">
        <v>38</v>
      </c>
      <c r="G8" s="42">
        <v>26756.97</v>
      </c>
      <c r="H8" s="42">
        <v>26351.56</v>
      </c>
      <c r="I8" s="41">
        <v>46171</v>
      </c>
      <c r="J8" s="40">
        <f t="shared" si="0"/>
        <v>405.40999999999985</v>
      </c>
      <c r="K8" s="39" t="s">
        <v>27</v>
      </c>
    </row>
    <row r="9" spans="3:11" x14ac:dyDescent="0.3">
      <c r="C9" s="32">
        <v>6</v>
      </c>
      <c r="D9" s="41">
        <v>45928</v>
      </c>
      <c r="E9" s="43" t="s">
        <v>37</v>
      </c>
      <c r="F9" s="43" t="s">
        <v>36</v>
      </c>
      <c r="G9" s="42">
        <v>26756.97</v>
      </c>
      <c r="H9" s="42">
        <v>26351.56</v>
      </c>
      <c r="I9" s="41">
        <v>46183</v>
      </c>
      <c r="J9" s="40">
        <f t="shared" si="0"/>
        <v>405.40999999999985</v>
      </c>
      <c r="K9" s="39" t="s">
        <v>27</v>
      </c>
    </row>
    <row r="10" spans="3:11" x14ac:dyDescent="0.3">
      <c r="C10" s="32">
        <v>7</v>
      </c>
      <c r="D10" s="41">
        <v>45954</v>
      </c>
      <c r="E10" s="43" t="s">
        <v>17</v>
      </c>
      <c r="F10" s="43" t="s">
        <v>16</v>
      </c>
      <c r="G10" s="42">
        <v>26756.27</v>
      </c>
      <c r="H10" s="42">
        <v>26351.56</v>
      </c>
      <c r="I10" s="41">
        <v>46191</v>
      </c>
      <c r="J10" s="40">
        <f t="shared" si="0"/>
        <v>404.70999999999913</v>
      </c>
      <c r="K10" s="39" t="s">
        <v>27</v>
      </c>
    </row>
    <row r="11" spans="3:11" x14ac:dyDescent="0.3">
      <c r="C11" s="32">
        <v>8</v>
      </c>
      <c r="D11" s="41">
        <v>45954</v>
      </c>
      <c r="E11" s="43" t="s">
        <v>15</v>
      </c>
      <c r="F11" s="43" t="s">
        <v>14</v>
      </c>
      <c r="G11" s="42">
        <v>26756.27</v>
      </c>
      <c r="H11" s="42">
        <v>26351.56</v>
      </c>
      <c r="I11" s="41">
        <v>46198</v>
      </c>
      <c r="J11" s="40">
        <f t="shared" si="0"/>
        <v>404.70999999999913</v>
      </c>
      <c r="K11" s="52" t="s">
        <v>59</v>
      </c>
    </row>
    <row r="12" spans="3:11" x14ac:dyDescent="0.3">
      <c r="C12" s="32">
        <v>9</v>
      </c>
      <c r="D12" s="41">
        <v>45937</v>
      </c>
      <c r="E12" s="43" t="s">
        <v>29</v>
      </c>
      <c r="F12" s="43" t="s">
        <v>28</v>
      </c>
      <c r="G12" s="42">
        <v>26756.95</v>
      </c>
      <c r="H12" s="42">
        <v>26351.56</v>
      </c>
      <c r="I12" s="41">
        <v>46198</v>
      </c>
      <c r="J12" s="40">
        <f t="shared" si="0"/>
        <v>405.38999999999942</v>
      </c>
      <c r="K12" s="53"/>
    </row>
    <row r="13" spans="3:11" x14ac:dyDescent="0.3">
      <c r="C13" s="32">
        <v>10</v>
      </c>
      <c r="D13" s="41">
        <v>45933</v>
      </c>
      <c r="E13" s="43" t="s">
        <v>35</v>
      </c>
      <c r="F13" s="43" t="s">
        <v>34</v>
      </c>
      <c r="G13" s="42">
        <v>26756.97</v>
      </c>
      <c r="H13" s="42">
        <v>26351.56</v>
      </c>
      <c r="I13" s="41">
        <v>46241</v>
      </c>
      <c r="J13" s="40">
        <f t="shared" si="0"/>
        <v>405.40999999999985</v>
      </c>
      <c r="K13" s="39"/>
    </row>
    <row r="14" spans="3:11" x14ac:dyDescent="0.3">
      <c r="C14" s="32">
        <v>11</v>
      </c>
      <c r="D14" s="41">
        <v>45933</v>
      </c>
      <c r="E14" s="43" t="s">
        <v>33</v>
      </c>
      <c r="F14" s="43" t="s">
        <v>32</v>
      </c>
      <c r="G14" s="42">
        <v>26756.97</v>
      </c>
      <c r="H14" s="42">
        <v>26351.56</v>
      </c>
      <c r="I14" s="41">
        <v>46241</v>
      </c>
      <c r="J14" s="40">
        <f t="shared" si="0"/>
        <v>405.40999999999985</v>
      </c>
      <c r="K14" s="39"/>
    </row>
    <row r="15" spans="3:11" x14ac:dyDescent="0.3">
      <c r="C15" s="32">
        <v>12</v>
      </c>
      <c r="D15" s="41">
        <v>45933</v>
      </c>
      <c r="E15" s="43" t="s">
        <v>31</v>
      </c>
      <c r="F15" s="43" t="s">
        <v>30</v>
      </c>
      <c r="G15" s="42">
        <v>26756.97</v>
      </c>
      <c r="H15" s="42">
        <v>0</v>
      </c>
      <c r="I15" s="41"/>
      <c r="J15" s="40">
        <f t="shared" si="0"/>
        <v>26756.97</v>
      </c>
      <c r="K15" s="39"/>
    </row>
    <row r="16" spans="3:11" x14ac:dyDescent="0.3">
      <c r="C16" s="32">
        <v>13</v>
      </c>
      <c r="D16" s="41">
        <v>45937</v>
      </c>
      <c r="E16" s="43" t="s">
        <v>26</v>
      </c>
      <c r="F16" s="43" t="s">
        <v>25</v>
      </c>
      <c r="G16" s="42">
        <v>26756.95</v>
      </c>
      <c r="H16" s="42">
        <v>26351.56</v>
      </c>
      <c r="I16" s="41">
        <v>46232</v>
      </c>
      <c r="J16" s="40">
        <f t="shared" si="0"/>
        <v>405.38999999999942</v>
      </c>
      <c r="K16" s="39"/>
    </row>
    <row r="17" spans="3:11" x14ac:dyDescent="0.3">
      <c r="C17" s="32">
        <v>14</v>
      </c>
      <c r="D17" s="41">
        <v>45937</v>
      </c>
      <c r="E17" s="43" t="s">
        <v>24</v>
      </c>
      <c r="F17" s="43" t="s">
        <v>23</v>
      </c>
      <c r="G17" s="42">
        <v>26756.95</v>
      </c>
      <c r="H17" s="42">
        <v>26351.56</v>
      </c>
      <c r="I17" s="41">
        <v>46232</v>
      </c>
      <c r="J17" s="40">
        <f t="shared" si="0"/>
        <v>405.38999999999942</v>
      </c>
      <c r="K17" s="39"/>
    </row>
    <row r="18" spans="3:11" x14ac:dyDescent="0.3">
      <c r="C18" s="32">
        <v>15</v>
      </c>
      <c r="D18" s="41">
        <v>45938</v>
      </c>
      <c r="E18" s="43" t="s">
        <v>22</v>
      </c>
      <c r="F18" s="43" t="s">
        <v>21</v>
      </c>
      <c r="G18" s="42">
        <v>26756.95</v>
      </c>
      <c r="H18" s="42">
        <v>26351.56</v>
      </c>
      <c r="I18" s="41">
        <v>46079</v>
      </c>
      <c r="J18" s="40">
        <f t="shared" si="0"/>
        <v>405.38999999999942</v>
      </c>
      <c r="K18" s="39" t="s">
        <v>18</v>
      </c>
    </row>
    <row r="19" spans="3:11" x14ac:dyDescent="0.3">
      <c r="C19" s="32">
        <v>16</v>
      </c>
      <c r="D19" s="41">
        <v>45938</v>
      </c>
      <c r="E19" s="43" t="s">
        <v>20</v>
      </c>
      <c r="F19" s="43" t="s">
        <v>19</v>
      </c>
      <c r="G19" s="42">
        <v>26756.95</v>
      </c>
      <c r="H19" s="42">
        <v>26351.56</v>
      </c>
      <c r="I19" s="41">
        <v>46079</v>
      </c>
      <c r="J19" s="40">
        <f t="shared" si="0"/>
        <v>405.38999999999942</v>
      </c>
      <c r="K19" s="39" t="s">
        <v>18</v>
      </c>
    </row>
    <row r="20" spans="3:11" x14ac:dyDescent="0.3">
      <c r="C20" s="38">
        <v>17</v>
      </c>
      <c r="D20" s="35">
        <v>45956</v>
      </c>
      <c r="E20" s="37" t="s">
        <v>13</v>
      </c>
      <c r="F20" s="37" t="s">
        <v>12</v>
      </c>
      <c r="G20" s="36">
        <v>26756.97</v>
      </c>
      <c r="H20" s="36">
        <v>26351.56</v>
      </c>
      <c r="I20" s="35">
        <v>46091</v>
      </c>
      <c r="J20" s="34">
        <f t="shared" si="0"/>
        <v>405.40999999999985</v>
      </c>
      <c r="K20" s="33"/>
    </row>
    <row r="21" spans="3:11" x14ac:dyDescent="0.3">
      <c r="C21" s="32">
        <v>18</v>
      </c>
      <c r="D21" s="14">
        <v>45956</v>
      </c>
      <c r="E21" s="8" t="s">
        <v>11</v>
      </c>
      <c r="F21" s="8" t="s">
        <v>10</v>
      </c>
      <c r="G21" s="9">
        <v>26756.97</v>
      </c>
      <c r="H21" s="9">
        <v>26351.56</v>
      </c>
      <c r="I21" s="16">
        <v>46282</v>
      </c>
      <c r="J21" s="30">
        <f t="shared" si="0"/>
        <v>405.40999999999985</v>
      </c>
      <c r="K21" s="3"/>
    </row>
    <row r="22" spans="3:11" x14ac:dyDescent="0.3">
      <c r="C22" s="32">
        <v>19</v>
      </c>
      <c r="D22" s="31">
        <v>45971</v>
      </c>
      <c r="E22" s="26" t="s">
        <v>9</v>
      </c>
      <c r="F22" s="26" t="s">
        <v>8</v>
      </c>
      <c r="G22" s="9">
        <v>26755.13</v>
      </c>
      <c r="H22" s="9">
        <v>0</v>
      </c>
      <c r="I22" s="8"/>
      <c r="J22" s="30">
        <f t="shared" si="0"/>
        <v>26755.13</v>
      </c>
      <c r="K22" s="3"/>
    </row>
    <row r="23" spans="3:11" x14ac:dyDescent="0.3">
      <c r="C23" s="29">
        <v>20</v>
      </c>
      <c r="D23" s="28">
        <v>45971</v>
      </c>
      <c r="E23" s="13" t="s">
        <v>7</v>
      </c>
      <c r="F23" s="13" t="s">
        <v>6</v>
      </c>
      <c r="G23" s="27">
        <v>26756.97</v>
      </c>
      <c r="H23" s="27">
        <v>0</v>
      </c>
      <c r="I23" s="26"/>
      <c r="J23" s="25">
        <f t="shared" si="0"/>
        <v>26756.97</v>
      </c>
      <c r="K23" s="24"/>
    </row>
    <row r="24" spans="3:11" x14ac:dyDescent="0.3">
      <c r="C24" s="23">
        <v>21</v>
      </c>
      <c r="D24" s="22">
        <v>46044</v>
      </c>
      <c r="E24" s="10" t="s">
        <v>5</v>
      </c>
      <c r="F24" s="10" t="s">
        <v>4</v>
      </c>
      <c r="G24" s="21">
        <v>52703.12</v>
      </c>
      <c r="H24" s="21">
        <v>0</v>
      </c>
      <c r="I24" s="10"/>
      <c r="J24" s="21">
        <f t="shared" si="0"/>
        <v>52703.12</v>
      </c>
      <c r="K24" s="20"/>
    </row>
    <row r="25" spans="3:11" x14ac:dyDescent="0.3">
      <c r="C25" s="23">
        <v>22</v>
      </c>
      <c r="D25" s="22">
        <v>46062</v>
      </c>
      <c r="E25" s="54" t="s">
        <v>3</v>
      </c>
      <c r="F25" s="10" t="s">
        <v>2</v>
      </c>
      <c r="G25" s="21">
        <v>35811.089999999997</v>
      </c>
      <c r="H25" s="21">
        <v>0</v>
      </c>
      <c r="I25" s="10"/>
      <c r="J25" s="21">
        <v>35811.089999999997</v>
      </c>
      <c r="K25" s="20"/>
    </row>
    <row r="26" spans="3:11" x14ac:dyDescent="0.3">
      <c r="C26" s="23">
        <v>23</v>
      </c>
      <c r="D26" s="22">
        <v>46062</v>
      </c>
      <c r="E26" s="55"/>
      <c r="F26" s="10" t="s">
        <v>1</v>
      </c>
      <c r="G26" s="21">
        <v>35811.089999999997</v>
      </c>
      <c r="H26" s="21">
        <v>0</v>
      </c>
      <c r="I26" s="10"/>
      <c r="J26" s="21">
        <v>35811.089999999997</v>
      </c>
      <c r="K26" s="20"/>
    </row>
    <row r="27" spans="3:11" x14ac:dyDescent="0.3">
      <c r="C27" s="56" t="s">
        <v>0</v>
      </c>
      <c r="D27" s="57"/>
      <c r="E27" s="57"/>
      <c r="F27" s="58"/>
      <c r="G27" s="4">
        <f>SUM(G4:G26)</f>
        <v>659461.35999999987</v>
      </c>
      <c r="H27" s="4">
        <f>SUM(H4:H26)</f>
        <v>447976.52</v>
      </c>
      <c r="I27" s="5"/>
      <c r="J27" s="4">
        <f>SUM(J4:J26)</f>
        <v>211484.84</v>
      </c>
      <c r="K27" s="3"/>
    </row>
    <row r="28" spans="3:11" x14ac:dyDescent="0.3">
      <c r="G28" s="2"/>
      <c r="H28" s="2"/>
    </row>
    <row r="29" spans="3:11" x14ac:dyDescent="0.3">
      <c r="G29" s="2"/>
      <c r="H29" s="2"/>
      <c r="J29" s="19"/>
    </row>
    <row r="30" spans="3:11" x14ac:dyDescent="0.3">
      <c r="C30" s="59" t="s">
        <v>58</v>
      </c>
      <c r="D30" s="60"/>
      <c r="E30" s="60"/>
      <c r="F30" s="60"/>
      <c r="G30" s="60"/>
      <c r="H30" s="60"/>
      <c r="I30" s="60"/>
      <c r="J30" s="60"/>
      <c r="K30" s="61"/>
    </row>
    <row r="31" spans="3:11" x14ac:dyDescent="0.3">
      <c r="C31" s="17" t="s">
        <v>57</v>
      </c>
      <c r="D31" s="5" t="s">
        <v>56</v>
      </c>
      <c r="E31" s="5" t="s">
        <v>55</v>
      </c>
      <c r="F31" s="5" t="s">
        <v>54</v>
      </c>
      <c r="G31" s="5" t="s">
        <v>53</v>
      </c>
      <c r="H31" s="5" t="s">
        <v>52</v>
      </c>
      <c r="I31" s="5" t="s">
        <v>51</v>
      </c>
      <c r="J31" s="18" t="s">
        <v>50</v>
      </c>
      <c r="K31" s="17" t="s">
        <v>49</v>
      </c>
    </row>
    <row r="32" spans="3:11" x14ac:dyDescent="0.3">
      <c r="C32" s="15">
        <v>1</v>
      </c>
      <c r="D32" s="14">
        <v>45924</v>
      </c>
      <c r="E32" s="8" t="s">
        <v>48</v>
      </c>
      <c r="F32" s="8" t="s">
        <v>47</v>
      </c>
      <c r="G32" s="9">
        <v>26756.97</v>
      </c>
      <c r="H32" s="9">
        <v>26351.56</v>
      </c>
      <c r="I32" s="14">
        <v>46079</v>
      </c>
      <c r="J32" s="7">
        <f t="shared" ref="J32:J54" si="1">+G32-H32</f>
        <v>405.40999999999985</v>
      </c>
      <c r="K32" s="3" t="s">
        <v>18</v>
      </c>
    </row>
    <row r="33" spans="3:11" x14ac:dyDescent="0.3">
      <c r="C33" s="15">
        <v>2</v>
      </c>
      <c r="D33" s="14">
        <v>45924</v>
      </c>
      <c r="E33" s="8" t="s">
        <v>46</v>
      </c>
      <c r="F33" s="8" t="s">
        <v>45</v>
      </c>
      <c r="G33" s="9">
        <v>26756.97</v>
      </c>
      <c r="H33" s="9">
        <v>26351.56</v>
      </c>
      <c r="I33" s="14">
        <v>46091</v>
      </c>
      <c r="J33" s="7">
        <f t="shared" si="1"/>
        <v>405.40999999999985</v>
      </c>
      <c r="K33" s="3" t="s">
        <v>27</v>
      </c>
    </row>
    <row r="34" spans="3:11" x14ac:dyDescent="0.3">
      <c r="C34" s="15">
        <v>3</v>
      </c>
      <c r="D34" s="14">
        <v>45924</v>
      </c>
      <c r="E34" s="8" t="s">
        <v>44</v>
      </c>
      <c r="F34" s="8" t="s">
        <v>43</v>
      </c>
      <c r="G34" s="9">
        <v>26756.97</v>
      </c>
      <c r="H34" s="9">
        <v>26351.56</v>
      </c>
      <c r="I34" s="14">
        <v>46121</v>
      </c>
      <c r="J34" s="7">
        <f t="shared" si="1"/>
        <v>405.40999999999985</v>
      </c>
      <c r="K34" s="3" t="s">
        <v>40</v>
      </c>
    </row>
    <row r="35" spans="3:11" x14ac:dyDescent="0.3">
      <c r="C35" s="15">
        <v>4</v>
      </c>
      <c r="D35" s="14">
        <v>45928</v>
      </c>
      <c r="E35" s="8" t="s">
        <v>42</v>
      </c>
      <c r="F35" s="8" t="s">
        <v>41</v>
      </c>
      <c r="G35" s="9">
        <v>26756.97</v>
      </c>
      <c r="H35" s="9">
        <v>26351.56</v>
      </c>
      <c r="I35" s="14">
        <v>46121</v>
      </c>
      <c r="J35" s="7">
        <f t="shared" si="1"/>
        <v>405.40999999999985</v>
      </c>
      <c r="K35" s="3" t="s">
        <v>40</v>
      </c>
    </row>
    <row r="36" spans="3:11" x14ac:dyDescent="0.3">
      <c r="C36" s="15">
        <v>5</v>
      </c>
      <c r="D36" s="14">
        <v>45928</v>
      </c>
      <c r="E36" s="8" t="s">
        <v>39</v>
      </c>
      <c r="F36" s="8" t="s">
        <v>38</v>
      </c>
      <c r="G36" s="9">
        <v>26756.97</v>
      </c>
      <c r="H36" s="9">
        <v>26351.56</v>
      </c>
      <c r="I36" s="14">
        <v>46155</v>
      </c>
      <c r="J36" s="7">
        <f t="shared" si="1"/>
        <v>405.40999999999985</v>
      </c>
      <c r="K36" s="3" t="s">
        <v>27</v>
      </c>
    </row>
    <row r="37" spans="3:11" x14ac:dyDescent="0.3">
      <c r="C37" s="15">
        <v>6</v>
      </c>
      <c r="D37" s="14">
        <v>45928</v>
      </c>
      <c r="E37" s="8" t="s">
        <v>37</v>
      </c>
      <c r="F37" s="8" t="s">
        <v>36</v>
      </c>
      <c r="G37" s="9">
        <v>26756.97</v>
      </c>
      <c r="H37" s="9">
        <v>26351.56</v>
      </c>
      <c r="I37" s="14">
        <v>46171</v>
      </c>
      <c r="J37" s="7">
        <f t="shared" si="1"/>
        <v>405.40999999999985</v>
      </c>
      <c r="K37" s="3" t="s">
        <v>27</v>
      </c>
    </row>
    <row r="38" spans="3:11" x14ac:dyDescent="0.3">
      <c r="C38" s="15">
        <v>7</v>
      </c>
      <c r="D38" s="14">
        <v>45933</v>
      </c>
      <c r="E38" s="8" t="s">
        <v>35</v>
      </c>
      <c r="F38" s="8" t="s">
        <v>34</v>
      </c>
      <c r="G38" s="9">
        <v>26756.97</v>
      </c>
      <c r="H38" s="9">
        <v>26351.56</v>
      </c>
      <c r="I38" s="14">
        <v>46183</v>
      </c>
      <c r="J38" s="7">
        <f t="shared" si="1"/>
        <v>405.40999999999985</v>
      </c>
      <c r="K38" s="3" t="s">
        <v>27</v>
      </c>
    </row>
    <row r="39" spans="3:11" x14ac:dyDescent="0.3">
      <c r="C39" s="15">
        <v>8</v>
      </c>
      <c r="D39" s="14">
        <v>45933</v>
      </c>
      <c r="E39" s="8" t="s">
        <v>33</v>
      </c>
      <c r="F39" s="8" t="s">
        <v>32</v>
      </c>
      <c r="G39" s="9">
        <v>26756.97</v>
      </c>
      <c r="H39" s="9">
        <v>26351.56</v>
      </c>
      <c r="I39" s="14">
        <v>46192</v>
      </c>
      <c r="J39" s="7">
        <f t="shared" si="1"/>
        <v>405.40999999999985</v>
      </c>
      <c r="K39" s="3" t="s">
        <v>27</v>
      </c>
    </row>
    <row r="40" spans="3:11" x14ac:dyDescent="0.3">
      <c r="C40" s="15">
        <v>9</v>
      </c>
      <c r="D40" s="14">
        <v>45933</v>
      </c>
      <c r="E40" s="8" t="s">
        <v>31</v>
      </c>
      <c r="F40" s="8" t="s">
        <v>30</v>
      </c>
      <c r="G40" s="9">
        <v>26756.97</v>
      </c>
      <c r="H40" s="9">
        <v>26351.56</v>
      </c>
      <c r="I40" s="14">
        <v>46198</v>
      </c>
      <c r="J40" s="7">
        <f t="shared" si="1"/>
        <v>405.40999999999985</v>
      </c>
      <c r="K40" s="3" t="s">
        <v>27</v>
      </c>
    </row>
    <row r="41" spans="3:11" x14ac:dyDescent="0.3">
      <c r="C41" s="15">
        <v>10</v>
      </c>
      <c r="D41" s="14">
        <v>45937</v>
      </c>
      <c r="E41" s="8" t="s">
        <v>29</v>
      </c>
      <c r="F41" s="8" t="s">
        <v>28</v>
      </c>
      <c r="G41" s="9">
        <v>26756.95</v>
      </c>
      <c r="H41" s="9">
        <v>26351.56</v>
      </c>
      <c r="I41" s="14">
        <v>46198</v>
      </c>
      <c r="J41" s="7">
        <f t="shared" si="1"/>
        <v>405.38999999999942</v>
      </c>
      <c r="K41" s="3" t="s">
        <v>27</v>
      </c>
    </row>
    <row r="42" spans="3:11" x14ac:dyDescent="0.3">
      <c r="C42" s="15">
        <v>11</v>
      </c>
      <c r="D42" s="14">
        <v>45937</v>
      </c>
      <c r="E42" s="8" t="s">
        <v>26</v>
      </c>
      <c r="F42" s="8" t="s">
        <v>25</v>
      </c>
      <c r="G42" s="9">
        <v>26756.95</v>
      </c>
      <c r="H42" s="9">
        <v>26351.56</v>
      </c>
      <c r="I42" s="8"/>
      <c r="J42" s="7">
        <f t="shared" si="1"/>
        <v>405.38999999999942</v>
      </c>
      <c r="K42" s="3"/>
    </row>
    <row r="43" spans="3:11" x14ac:dyDescent="0.3">
      <c r="C43" s="15">
        <v>12</v>
      </c>
      <c r="D43" s="14">
        <v>45937</v>
      </c>
      <c r="E43" s="8" t="s">
        <v>24</v>
      </c>
      <c r="F43" s="8" t="s">
        <v>23</v>
      </c>
      <c r="G43" s="9">
        <v>26756.95</v>
      </c>
      <c r="H43" s="9">
        <v>26351.56</v>
      </c>
      <c r="I43" s="8"/>
      <c r="J43" s="7">
        <f t="shared" si="1"/>
        <v>405.38999999999942</v>
      </c>
      <c r="K43" s="3"/>
    </row>
    <row r="44" spans="3:11" x14ac:dyDescent="0.3">
      <c r="C44" s="15">
        <v>13</v>
      </c>
      <c r="D44" s="14">
        <v>45938</v>
      </c>
      <c r="E44" s="8" t="s">
        <v>22</v>
      </c>
      <c r="F44" s="8" t="s">
        <v>21</v>
      </c>
      <c r="G44" s="9">
        <v>26756.95</v>
      </c>
      <c r="H44" s="9">
        <v>26351.56</v>
      </c>
      <c r="I44" s="14">
        <v>46079</v>
      </c>
      <c r="J44" s="7">
        <f t="shared" si="1"/>
        <v>405.38999999999942</v>
      </c>
      <c r="K44" s="3" t="s">
        <v>18</v>
      </c>
    </row>
    <row r="45" spans="3:11" x14ac:dyDescent="0.3">
      <c r="C45" s="15">
        <v>14</v>
      </c>
      <c r="D45" s="14">
        <v>45938</v>
      </c>
      <c r="E45" s="8" t="s">
        <v>20</v>
      </c>
      <c r="F45" s="8" t="s">
        <v>19</v>
      </c>
      <c r="G45" s="9">
        <v>26756.95</v>
      </c>
      <c r="H45" s="9">
        <v>26351.56</v>
      </c>
      <c r="I45" s="14">
        <v>46079</v>
      </c>
      <c r="J45" s="7">
        <f t="shared" si="1"/>
        <v>405.38999999999942</v>
      </c>
      <c r="K45" s="3" t="s">
        <v>18</v>
      </c>
    </row>
    <row r="46" spans="3:11" x14ac:dyDescent="0.3">
      <c r="C46" s="15">
        <v>15</v>
      </c>
      <c r="D46" s="14">
        <v>45954</v>
      </c>
      <c r="E46" s="8" t="s">
        <v>17</v>
      </c>
      <c r="F46" s="8" t="s">
        <v>16</v>
      </c>
      <c r="G46" s="9">
        <v>26756.27</v>
      </c>
      <c r="H46" s="9">
        <v>26351.56</v>
      </c>
      <c r="I46" s="16">
        <v>46241</v>
      </c>
      <c r="J46" s="7">
        <f t="shared" si="1"/>
        <v>404.70999999999913</v>
      </c>
      <c r="K46" s="3"/>
    </row>
    <row r="47" spans="3:11" x14ac:dyDescent="0.3">
      <c r="C47" s="15">
        <v>16</v>
      </c>
      <c r="D47" s="14">
        <v>45954</v>
      </c>
      <c r="E47" s="8" t="s">
        <v>15</v>
      </c>
      <c r="F47" s="8" t="s">
        <v>14</v>
      </c>
      <c r="G47" s="9">
        <v>26756.27</v>
      </c>
      <c r="H47" s="9">
        <v>26351.56</v>
      </c>
      <c r="I47" s="16">
        <v>46241</v>
      </c>
      <c r="J47" s="7">
        <f t="shared" si="1"/>
        <v>404.70999999999913</v>
      </c>
      <c r="K47" s="3"/>
    </row>
    <row r="48" spans="3:11" x14ac:dyDescent="0.3">
      <c r="C48" s="15">
        <v>17</v>
      </c>
      <c r="D48" s="14">
        <v>45956</v>
      </c>
      <c r="E48" s="8" t="s">
        <v>13</v>
      </c>
      <c r="F48" s="8" t="s">
        <v>12</v>
      </c>
      <c r="G48" s="9">
        <v>26756.97</v>
      </c>
      <c r="H48" s="9">
        <v>26351.56</v>
      </c>
      <c r="I48" s="16">
        <v>46282</v>
      </c>
      <c r="J48" s="7">
        <f t="shared" si="1"/>
        <v>405.40999999999985</v>
      </c>
      <c r="K48" s="3"/>
    </row>
    <row r="49" spans="3:11" x14ac:dyDescent="0.3">
      <c r="C49" s="15">
        <v>18</v>
      </c>
      <c r="D49" s="14">
        <v>45956</v>
      </c>
      <c r="E49" s="8" t="s">
        <v>11</v>
      </c>
      <c r="F49" s="8" t="s">
        <v>10</v>
      </c>
      <c r="G49" s="9">
        <v>26756.97</v>
      </c>
      <c r="H49" s="9">
        <v>0</v>
      </c>
      <c r="I49" s="8"/>
      <c r="J49" s="7">
        <f t="shared" si="1"/>
        <v>26756.97</v>
      </c>
      <c r="K49" s="3"/>
    </row>
    <row r="50" spans="3:11" x14ac:dyDescent="0.3">
      <c r="C50" s="15">
        <v>19</v>
      </c>
      <c r="D50" s="14">
        <v>45971</v>
      </c>
      <c r="E50" s="8" t="s">
        <v>9</v>
      </c>
      <c r="F50" s="8" t="s">
        <v>8</v>
      </c>
      <c r="G50" s="9">
        <v>26755.13</v>
      </c>
      <c r="H50" s="9">
        <v>0</v>
      </c>
      <c r="I50" s="8"/>
      <c r="J50" s="7">
        <f t="shared" si="1"/>
        <v>26755.13</v>
      </c>
      <c r="K50" s="3"/>
    </row>
    <row r="51" spans="3:11" x14ac:dyDescent="0.3">
      <c r="C51" s="15">
        <v>20</v>
      </c>
      <c r="D51" s="14">
        <v>45971</v>
      </c>
      <c r="E51" s="8" t="s">
        <v>7</v>
      </c>
      <c r="F51" s="8" t="s">
        <v>6</v>
      </c>
      <c r="G51" s="9">
        <v>26756.97</v>
      </c>
      <c r="H51" s="9">
        <v>0</v>
      </c>
      <c r="I51" s="8"/>
      <c r="J51" s="7">
        <f t="shared" si="1"/>
        <v>26756.97</v>
      </c>
      <c r="K51" s="3"/>
    </row>
    <row r="52" spans="3:11" x14ac:dyDescent="0.3">
      <c r="C52" s="15">
        <v>21</v>
      </c>
      <c r="D52" s="14">
        <v>46044</v>
      </c>
      <c r="E52" s="8" t="s">
        <v>5</v>
      </c>
      <c r="F52" s="8" t="s">
        <v>4</v>
      </c>
      <c r="G52" s="9">
        <v>52703.12</v>
      </c>
      <c r="H52" s="9">
        <v>0</v>
      </c>
      <c r="I52" s="8"/>
      <c r="J52" s="7">
        <f t="shared" si="1"/>
        <v>52703.12</v>
      </c>
      <c r="K52" s="3"/>
    </row>
    <row r="53" spans="3:11" x14ac:dyDescent="0.3">
      <c r="C53" s="12"/>
      <c r="D53" s="11">
        <v>46062</v>
      </c>
      <c r="E53" s="54" t="s">
        <v>3</v>
      </c>
      <c r="F53" s="10" t="s">
        <v>2</v>
      </c>
      <c r="G53" s="9">
        <v>35811.089999999997</v>
      </c>
      <c r="H53" s="9">
        <v>0</v>
      </c>
      <c r="I53" s="8"/>
      <c r="J53" s="7">
        <f t="shared" si="1"/>
        <v>35811.089999999997</v>
      </c>
      <c r="K53" s="3"/>
    </row>
    <row r="54" spans="3:11" x14ac:dyDescent="0.3">
      <c r="C54" s="12"/>
      <c r="D54" s="11">
        <v>46062</v>
      </c>
      <c r="E54" s="55"/>
      <c r="F54" s="10" t="s">
        <v>1</v>
      </c>
      <c r="G54" s="9">
        <v>35811.089999999997</v>
      </c>
      <c r="H54" s="9">
        <v>0</v>
      </c>
      <c r="I54" s="8"/>
      <c r="J54" s="7">
        <f t="shared" si="1"/>
        <v>35811.089999999997</v>
      </c>
      <c r="K54" s="3"/>
    </row>
    <row r="55" spans="3:11" x14ac:dyDescent="0.3">
      <c r="C55" s="47" t="s">
        <v>0</v>
      </c>
      <c r="D55" s="48"/>
      <c r="E55" s="48"/>
      <c r="F55" s="49"/>
      <c r="G55" s="4">
        <f>SUM(G32:G52)</f>
        <v>587839.18000000005</v>
      </c>
      <c r="H55" s="4">
        <f>SUM(H32:H54)</f>
        <v>447976.52</v>
      </c>
      <c r="I55" s="5"/>
      <c r="J55" s="4">
        <f>SUM(J32:J54)</f>
        <v>211484.84</v>
      </c>
      <c r="K55" s="3"/>
    </row>
    <row r="56" spans="3:11" x14ac:dyDescent="0.3">
      <c r="H56" s="2"/>
    </row>
    <row r="58" spans="3:11" x14ac:dyDescent="0.3">
      <c r="G58" s="2">
        <f>G27-G55</f>
        <v>71622.179999999818</v>
      </c>
      <c r="H58" s="2">
        <f>H27-H55</f>
        <v>0</v>
      </c>
      <c r="I58" s="2">
        <f>I27-I55</f>
        <v>0</v>
      </c>
      <c r="J58" s="2">
        <f>J27-J55</f>
        <v>0</v>
      </c>
    </row>
    <row r="59" spans="3:11" x14ac:dyDescent="0.3">
      <c r="H59" s="2"/>
    </row>
  </sheetData>
  <mergeCells count="7">
    <mergeCell ref="C55:F55"/>
    <mergeCell ref="C2:J2"/>
    <mergeCell ref="K11:K12"/>
    <mergeCell ref="E25:E26"/>
    <mergeCell ref="C27:F27"/>
    <mergeCell ref="C30:K30"/>
    <mergeCell ref="E53:E54"/>
  </mergeCells>
  <pageMargins left="0.7" right="0.7" top="0.75" bottom="0.75" header="0.3" footer="0.3"/>
  <pageSetup scale="69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Terry Stone (03-10-26)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Senthil Kumar</cp:lastModifiedBy>
  <dcterms:created xsi:type="dcterms:W3CDTF">2026-10-08T02:27:44Z</dcterms:created>
  <dcterms:modified xsi:type="dcterms:W3CDTF">2026-10-08T02:29:17Z</dcterms:modified>
</cp:coreProperties>
</file>