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U\Desktop\Kaviya\AC Receivables\FY 26-27\Receivables\Client wise outstanding\Customer wise\"/>
    </mc:Choice>
  </mc:AlternateContent>
  <xr:revisionPtr revIDLastSave="0" documentId="13_ncr:1_{5844F214-2480-4002-BDF7-CCB06879A912}" xr6:coauthVersionLast="47" xr6:coauthVersionMax="47" xr10:uidLastSave="{00000000-0000-0000-0000-000000000000}"/>
  <bookViews>
    <workbookView xWindow="-108" yWindow="-108" windowWidth="23256" windowHeight="12456" xr2:uid="{D132F703-AB5A-4642-9389-F304B6AE2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E11" i="1"/>
  <c r="F10" i="1"/>
  <c r="F9" i="1"/>
  <c r="F11" i="1" s="1"/>
  <c r="F8" i="1"/>
  <c r="F7" i="1"/>
  <c r="J1" i="1"/>
  <c r="J7" i="1" s="1"/>
  <c r="J9" i="1" l="1"/>
  <c r="J8" i="1"/>
  <c r="J10" i="1"/>
</calcChain>
</file>

<file path=xl/sharedStrings.xml><?xml version="1.0" encoding="utf-8"?>
<sst xmlns="http://schemas.openxmlformats.org/spreadsheetml/2006/main" count="23" uniqueCount="23">
  <si>
    <t>Customer Name</t>
  </si>
  <si>
    <t>Partner Kamienia</t>
  </si>
  <si>
    <t>Payment Terms</t>
  </si>
  <si>
    <t>100% Cash Against Document (CAD)</t>
  </si>
  <si>
    <t>Sl. No.</t>
  </si>
  <si>
    <t>Invoice Date</t>
  </si>
  <si>
    <t>Invoice no.</t>
  </si>
  <si>
    <t>Invoice Value</t>
  </si>
  <si>
    <t>Received</t>
  </si>
  <si>
    <t>Balance</t>
  </si>
  <si>
    <t>Container No</t>
  </si>
  <si>
    <t>ETA/ Due Date</t>
  </si>
  <si>
    <t>Overdue days</t>
  </si>
  <si>
    <t>Remarks</t>
  </si>
  <si>
    <t>PESPL/2139</t>
  </si>
  <si>
    <t>MSDU1913914</t>
  </si>
  <si>
    <t>PESPL/2208</t>
  </si>
  <si>
    <t>FBIU0171357</t>
  </si>
  <si>
    <t>PESPL/2209</t>
  </si>
  <si>
    <t>MAGU2452112</t>
  </si>
  <si>
    <t>PESPL/2210</t>
  </si>
  <si>
    <t>MEDU3196559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</si>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</sst>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5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4" fontId="2" fillId="0" borderId="1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/>
    <xf numFmtId="164" fontId="3" fillId="2" borderId="1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5589-0D3C-4F56-8EA4-DB91F7A58045}">
  <dimension ref="A1:K11"/>
  <sheetViews>
    <sheetView showGridLines="0" tabSelected="1" workbookViewId="0"/>
  </sheetViews>
  <sheetFormatPr defaultRowHeight="14.4" x14ac:dyDescent="0.3"/>
  <cols>
    <col min="2" max="2" width="9.109375" customWidth="1"/>
    <col min="3" max="3" width="14.6640625" customWidth="1"/>
    <col min="4" max="4" width="13.44140625" customWidth="1"/>
    <col min="5" max="5" width="17.109375" customWidth="1"/>
    <col min="6" max="7" width="16.6640625" customWidth="1"/>
    <col min="8" max="8" width="16.5546875" customWidth="1"/>
    <col min="9" max="9" width="12.44140625" customWidth="1"/>
    <col min="10" max="10" width="12.5546875" customWidth="1"/>
    <col min="11" max="11" width="24.88671875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2">
        <f ca="1">TODAY()</f>
        <v>46186</v>
      </c>
      <c r="K1" s="1"/>
    </row>
    <row r="2" spans="1:11" x14ac:dyDescent="0.3">
      <c r="A2" s="1"/>
      <c r="B2" s="15" t="s">
        <v>0</v>
      </c>
      <c r="C2" s="15"/>
      <c r="D2" s="15"/>
      <c r="E2" s="16" t="s">
        <v>1</v>
      </c>
      <c r="F2" s="16"/>
      <c r="G2" s="1"/>
      <c r="H2" s="1"/>
      <c r="I2" s="1"/>
      <c r="J2" s="1"/>
      <c r="K2" s="1"/>
    </row>
    <row r="3" spans="1:11" x14ac:dyDescent="0.3">
      <c r="A3" s="1"/>
      <c r="B3" s="15" t="s">
        <v>2</v>
      </c>
      <c r="C3" s="15"/>
      <c r="D3" s="15"/>
      <c r="E3" s="17" t="s">
        <v>3</v>
      </c>
      <c r="F3" s="17"/>
      <c r="G3" s="1"/>
      <c r="H3" s="1"/>
      <c r="I3" s="1"/>
      <c r="J3" s="1"/>
      <c r="K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2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/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</row>
    <row r="7" spans="1:11" x14ac:dyDescent="0.3">
      <c r="A7" s="1"/>
      <c r="B7" s="5">
        <v>1</v>
      </c>
      <c r="C7" s="6">
        <v>46062</v>
      </c>
      <c r="D7" s="3" t="s">
        <v>14</v>
      </c>
      <c r="E7" s="7">
        <v>247.82</v>
      </c>
      <c r="F7" s="8">
        <f>+E7-G7</f>
        <v>0</v>
      </c>
      <c r="G7" s="9">
        <v>247.82</v>
      </c>
      <c r="H7" s="5" t="s">
        <v>15</v>
      </c>
      <c r="I7" s="6">
        <v>46112</v>
      </c>
      <c r="J7" s="10">
        <f ca="1">+$J$1-I7</f>
        <v>74</v>
      </c>
      <c r="K7" s="5"/>
    </row>
    <row r="8" spans="1:11" x14ac:dyDescent="0.3">
      <c r="A8" s="1"/>
      <c r="B8" s="5">
        <v>2</v>
      </c>
      <c r="C8" s="6">
        <v>46095</v>
      </c>
      <c r="D8" s="3" t="s">
        <v>16</v>
      </c>
      <c r="E8" s="7">
        <v>41473.35</v>
      </c>
      <c r="F8" s="8">
        <f>+E8-G8</f>
        <v>0</v>
      </c>
      <c r="G8" s="9">
        <v>41473.35</v>
      </c>
      <c r="H8" s="5" t="s">
        <v>17</v>
      </c>
      <c r="I8" s="6">
        <v>46147</v>
      </c>
      <c r="J8" s="10">
        <f ca="1">+$J$1-I8</f>
        <v>39</v>
      </c>
      <c r="K8" s="5"/>
    </row>
    <row r="9" spans="1:11" x14ac:dyDescent="0.3">
      <c r="A9" s="1"/>
      <c r="B9" s="5">
        <v>3</v>
      </c>
      <c r="C9" s="6">
        <v>46095</v>
      </c>
      <c r="D9" s="3" t="s">
        <v>18</v>
      </c>
      <c r="E9" s="7">
        <v>41473.35</v>
      </c>
      <c r="F9" s="8">
        <f>+E9-G9</f>
        <v>0</v>
      </c>
      <c r="G9" s="9">
        <v>41473.35</v>
      </c>
      <c r="H9" s="5" t="s">
        <v>19</v>
      </c>
      <c r="I9" s="6">
        <v>46147</v>
      </c>
      <c r="J9" s="10">
        <f ca="1">+$J$1-I9</f>
        <v>39</v>
      </c>
      <c r="K9" s="5"/>
    </row>
    <row r="10" spans="1:11" x14ac:dyDescent="0.3">
      <c r="A10" s="1"/>
      <c r="B10" s="5">
        <v>4</v>
      </c>
      <c r="C10" s="6">
        <v>46095</v>
      </c>
      <c r="D10" s="3" t="s">
        <v>20</v>
      </c>
      <c r="E10" s="7">
        <v>43942.5</v>
      </c>
      <c r="F10" s="8">
        <f>+E10-G10</f>
        <v>0</v>
      </c>
      <c r="G10" s="9">
        <v>43942.5</v>
      </c>
      <c r="H10" s="5" t="s">
        <v>21</v>
      </c>
      <c r="I10" s="6">
        <v>46147</v>
      </c>
      <c r="J10" s="10">
        <f ca="1">+$J$1-I10</f>
        <v>39</v>
      </c>
      <c r="K10" s="5"/>
    </row>
    <row r="11" spans="1:11" x14ac:dyDescent="0.3">
      <c r="A11" s="1"/>
      <c r="B11" s="18" t="s">
        <v>22</v>
      </c>
      <c r="C11" s="19"/>
      <c r="D11" s="20"/>
      <c r="E11" s="11">
        <f>SUM(E7:E10)</f>
        <v>127137.01999999999</v>
      </c>
      <c r="F11" s="11">
        <f>SUM(F7:F10)</f>
        <v>0</v>
      </c>
      <c r="G11" s="11">
        <f>SUM(G7:G10)</f>
        <v>127137.01999999999</v>
      </c>
      <c r="H11" s="12"/>
      <c r="I11" s="13"/>
      <c r="J11" s="13"/>
      <c r="K11" s="14"/>
    </row>
  </sheetData>
  <mergeCells count="6">
    <mergeCell ref="H11:K11"/>
    <mergeCell ref="B2:D2"/>
    <mergeCell ref="E2:F2"/>
    <mergeCell ref="B3:D3"/>
    <mergeCell ref="E3:F3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</dc:creator>
  <cp:lastModifiedBy>DHANU</cp:lastModifiedBy>
  <dcterms:created xsi:type="dcterms:W3CDTF">2026-06-06T07:17:48Z</dcterms:created>
  <dcterms:modified xsi:type="dcterms:W3CDTF">2026-06-13T10:54:22Z</dcterms:modified>
</cp:coreProperties>
</file>