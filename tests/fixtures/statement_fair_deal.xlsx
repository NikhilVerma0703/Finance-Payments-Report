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HANU\Desktop\Kaviya\AC Receivables\FY 26-27\Receivables\Client wise outstanding\Customer wise\"/>
    </mc:Choice>
  </mc:AlternateContent>
  <xr:revisionPtr revIDLastSave="0" documentId="13_ncr:1_{5B3400D5-7E21-4825-84BE-EBC4E6AE52C9}" xr6:coauthVersionLast="47" xr6:coauthVersionMax="47" xr10:uidLastSave="{00000000-0000-0000-0000-000000000000}"/>
  <bookViews>
    <workbookView xWindow="-108" yWindow="-108" windowWidth="23256" windowHeight="12456" xr2:uid="{66B08D2A-12D2-445A-96CC-D6E0AB671F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0" i="1" l="1"/>
  <c r="F8" i="1"/>
  <c r="G15" i="1"/>
  <c r="E15" i="1"/>
  <c r="J14" i="1"/>
  <c r="F14" i="1"/>
  <c r="J13" i="1"/>
  <c r="F13" i="1"/>
  <c r="J12" i="1"/>
  <c r="F12" i="1"/>
  <c r="J11" i="1"/>
  <c r="F11" i="1"/>
  <c r="J10" i="1"/>
  <c r="F10" i="1"/>
  <c r="J9" i="1"/>
  <c r="F9" i="1"/>
  <c r="J8" i="1"/>
  <c r="J7" i="1"/>
  <c r="F7" i="1"/>
  <c r="J6" i="1"/>
  <c r="F6" i="1"/>
  <c r="K1" i="1"/>
  <c r="K11" i="1" s="1"/>
  <c r="F15" i="1" l="1"/>
  <c r="K13" i="1"/>
  <c r="K14" i="1"/>
  <c r="K10" i="1"/>
  <c r="K7" i="1"/>
  <c r="K9" i="1"/>
  <c r="K6" i="1"/>
  <c r="K8" i="1"/>
  <c r="K12" i="1"/>
</calcChain>
</file>

<file path=xl/sharedStrings.xml><?xml version="1.0" encoding="utf-8"?>
<sst xmlns="http://schemas.openxmlformats.org/spreadsheetml/2006/main" count="41" uniqueCount="36">
  <si>
    <t>Customer Name</t>
  </si>
  <si>
    <t>Fair Deal Marble</t>
  </si>
  <si>
    <t>Sl. No.</t>
  </si>
  <si>
    <t>Invoice Date</t>
  </si>
  <si>
    <t>Invoice no.</t>
  </si>
  <si>
    <t>Invoice Value</t>
  </si>
  <si>
    <t>Received</t>
  </si>
  <si>
    <t>Balance</t>
  </si>
  <si>
    <t>Payment Terms</t>
  </si>
  <si>
    <t>Container No</t>
  </si>
  <si>
    <t>ETA/ Due Date</t>
  </si>
  <si>
    <t>Overdue days</t>
  </si>
  <si>
    <t>Remarks</t>
  </si>
  <si>
    <t>PESPL/0845</t>
  </si>
  <si>
    <t>120 Days From the Date of BL</t>
  </si>
  <si>
    <t>GAOU 207638-8</t>
  </si>
  <si>
    <t>PESPL/1701</t>
  </si>
  <si>
    <t>120 Days From BL Date</t>
  </si>
  <si>
    <t>DPWU 219549-6</t>
  </si>
  <si>
    <t>100% at 120 Days From BL Date</t>
  </si>
  <si>
    <t>PESPL/2092</t>
  </si>
  <si>
    <t>90 days From BL Date</t>
  </si>
  <si>
    <t>BLJU2087230</t>
  </si>
  <si>
    <t>PESPL/2093</t>
  </si>
  <si>
    <t>TIIU2353531</t>
  </si>
  <si>
    <t>PESPL/2111</t>
  </si>
  <si>
    <t>DPWU2108001</t>
  </si>
  <si>
    <t>PESPL/2577</t>
  </si>
  <si>
    <t xml:space="preserve"> MEDU 2290112 </t>
  </si>
  <si>
    <t>PESPL/2578</t>
  </si>
  <si>
    <t>NLLU 2027450</t>
  </si>
  <si>
    <t>PESPL/2579</t>
  </si>
  <si>
    <t>HDMU 2546646</t>
  </si>
  <si>
    <t>PESPL/2580</t>
  </si>
  <si>
    <t>NVOU 2000803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</si>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</sst>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-[$$-409]* #,##0.00_ ;_-[$$-409]* \-#,##0.00\ ;_-[$$-409]* &quot;-&quot;??_ ;_-@_ 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5">
    <xf numFmtId="0" fontId="0" fillId="0" borderId="0" xfId="0"/>
    <xf numFmtId="0" fontId="2" fillId="0" borderId="0" xfId="0" applyFont="1" applyAlignment="1">
      <alignment horizontal="center"/>
    </xf>
    <xf numFmtId="14" fontId="2" fillId="0" borderId="0" xfId="0" applyNumberFormat="1" applyFont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15" fontId="2" fillId="0" borderId="1" xfId="0" applyNumberFormat="1" applyFont="1" applyBorder="1" applyAlignment="1">
      <alignment horizontal="center" vertical="center"/>
    </xf>
    <xf numFmtId="164" fontId="2" fillId="0" borderId="1" xfId="1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/>
    </xf>
    <xf numFmtId="164" fontId="2" fillId="0" borderId="1" xfId="1" applyNumberFormat="1" applyFont="1" applyFill="1" applyBorder="1" applyAlignment="1">
      <alignment horizontal="left" vertical="center"/>
    </xf>
    <xf numFmtId="2" fontId="2" fillId="0" borderId="1" xfId="0" applyNumberFormat="1" applyFont="1" applyBorder="1" applyAlignment="1">
      <alignment horizontal="center"/>
    </xf>
    <xf numFmtId="164" fontId="2" fillId="0" borderId="1" xfId="1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left"/>
    </xf>
    <xf numFmtId="2" fontId="2" fillId="0" borderId="1" xfId="0" applyNumberFormat="1" applyFont="1" applyBorder="1" applyAlignment="1">
      <alignment horizontal="center" vertical="center"/>
    </xf>
    <xf numFmtId="164" fontId="3" fillId="2" borderId="1" xfId="0" applyNumberFormat="1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164" fontId="0" fillId="0" borderId="0" xfId="0" applyNumberFormat="1"/>
    <xf numFmtId="164" fontId="2" fillId="3" borderId="1" xfId="1" applyNumberFormat="1" applyFont="1" applyFill="1" applyBorder="1" applyAlignment="1">
      <alignment horizontal="center" vertical="center"/>
    </xf>
    <xf numFmtId="164" fontId="4" fillId="0" borderId="0" xfId="0" applyNumberFormat="1" applyFont="1"/>
    <xf numFmtId="0" fontId="3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F1AF1-592B-48B3-AE26-DA0E1B0EC203}">
  <sheetPr>
    <pageSetUpPr fitToPage="1"/>
  </sheetPr>
  <dimension ref="A1:M17"/>
  <sheetViews>
    <sheetView showGridLines="0" tabSelected="1" zoomScaleNormal="100" workbookViewId="0"/>
  </sheetViews>
  <sheetFormatPr defaultRowHeight="14.4" x14ac:dyDescent="0.3"/>
  <cols>
    <col min="2" max="2" width="7.6640625" customWidth="1"/>
    <col min="3" max="3" width="10.88671875" customWidth="1"/>
    <col min="4" max="4" width="11.44140625" customWidth="1"/>
    <col min="5" max="5" width="12.33203125" customWidth="1"/>
    <col min="6" max="6" width="12" customWidth="1"/>
    <col min="7" max="7" width="12.21875" customWidth="1"/>
    <col min="8" max="8" width="23.109375" customWidth="1"/>
    <col min="9" max="9" width="13.88671875" customWidth="1"/>
    <col min="10" max="10" width="11.6640625" customWidth="1"/>
    <col min="11" max="11" width="10.21875" customWidth="1"/>
    <col min="12" max="12" width="21.88671875" customWidth="1"/>
    <col min="13" max="13" width="12.5546875" bestFit="1" customWidth="1"/>
  </cols>
  <sheetData>
    <row r="1" spans="1:13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2">
        <f ca="1">TODAY()</f>
        <v>46186</v>
      </c>
      <c r="L1" s="1"/>
    </row>
    <row r="2" spans="1:13" x14ac:dyDescent="0.3">
      <c r="A2" s="1"/>
      <c r="B2" s="20" t="s">
        <v>0</v>
      </c>
      <c r="C2" s="20"/>
      <c r="D2" s="20"/>
      <c r="E2" s="21" t="s">
        <v>1</v>
      </c>
      <c r="F2" s="21"/>
      <c r="G2" s="1"/>
      <c r="H2" s="1"/>
      <c r="I2" s="1"/>
      <c r="J2" s="1"/>
      <c r="K2" s="1"/>
      <c r="L2" s="1"/>
    </row>
    <row r="3" spans="1:13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2"/>
      <c r="L3" s="1"/>
    </row>
    <row r="4" spans="1:13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3" x14ac:dyDescent="0.3">
      <c r="A5" s="1"/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3" t="s">
        <v>7</v>
      </c>
      <c r="H5" s="3" t="s">
        <v>8</v>
      </c>
      <c r="I5" s="3" t="s">
        <v>9</v>
      </c>
      <c r="J5" s="3" t="s">
        <v>10</v>
      </c>
      <c r="K5" s="3" t="s">
        <v>11</v>
      </c>
      <c r="L5" s="3" t="s">
        <v>12</v>
      </c>
    </row>
    <row r="6" spans="1:13" x14ac:dyDescent="0.3">
      <c r="A6" s="1"/>
      <c r="B6" s="5">
        <v>1</v>
      </c>
      <c r="C6" s="6">
        <v>45635</v>
      </c>
      <c r="D6" s="4" t="s">
        <v>13</v>
      </c>
      <c r="E6" s="7">
        <v>55367.12</v>
      </c>
      <c r="F6" s="8">
        <f t="shared" ref="F6:F14" si="0">+E6-G6</f>
        <v>16469.400000000001</v>
      </c>
      <c r="G6" s="18">
        <v>38897.72</v>
      </c>
      <c r="H6" s="9" t="s">
        <v>14</v>
      </c>
      <c r="I6" s="5" t="s">
        <v>15</v>
      </c>
      <c r="J6" s="6">
        <f>+C6+128</f>
        <v>45763</v>
      </c>
      <c r="K6" s="10">
        <f t="shared" ref="K6:K14" ca="1" si="1">+$K$1-J6</f>
        <v>423</v>
      </c>
      <c r="L6" s="5"/>
    </row>
    <row r="7" spans="1:13" x14ac:dyDescent="0.3">
      <c r="A7" s="1"/>
      <c r="B7" s="5">
        <v>2</v>
      </c>
      <c r="C7" s="6">
        <v>45808</v>
      </c>
      <c r="D7" s="4" t="s">
        <v>16</v>
      </c>
      <c r="E7" s="7">
        <v>25806.39</v>
      </c>
      <c r="F7" s="8">
        <f t="shared" si="0"/>
        <v>0</v>
      </c>
      <c r="G7" s="18">
        <v>25806.39</v>
      </c>
      <c r="H7" s="9" t="s">
        <v>17</v>
      </c>
      <c r="I7" s="5" t="s">
        <v>18</v>
      </c>
      <c r="J7" s="6">
        <f>+C7+128</f>
        <v>45936</v>
      </c>
      <c r="K7" s="10">
        <f t="shared" ca="1" si="1"/>
        <v>250</v>
      </c>
      <c r="L7" s="5"/>
    </row>
    <row r="8" spans="1:13" x14ac:dyDescent="0.3">
      <c r="A8" s="1"/>
      <c r="B8" s="5">
        <v>4</v>
      </c>
      <c r="C8" s="6">
        <v>46042</v>
      </c>
      <c r="D8" s="4" t="s">
        <v>20</v>
      </c>
      <c r="E8" s="7">
        <v>45072.43</v>
      </c>
      <c r="F8" s="8">
        <f t="shared" si="0"/>
        <v>43182.23</v>
      </c>
      <c r="G8" s="18">
        <v>1890.2</v>
      </c>
      <c r="H8" s="9" t="s">
        <v>21</v>
      </c>
      <c r="I8" s="5" t="s">
        <v>22</v>
      </c>
      <c r="J8" s="6">
        <f>+C8+90</f>
        <v>46132</v>
      </c>
      <c r="K8" s="10">
        <f t="shared" ca="1" si="1"/>
        <v>54</v>
      </c>
      <c r="L8" s="5"/>
    </row>
    <row r="9" spans="1:13" x14ac:dyDescent="0.3">
      <c r="A9" s="1"/>
      <c r="B9" s="5">
        <v>5</v>
      </c>
      <c r="C9" s="6">
        <v>46042</v>
      </c>
      <c r="D9" s="4" t="s">
        <v>23</v>
      </c>
      <c r="E9" s="7">
        <v>19519.689999999999</v>
      </c>
      <c r="F9" s="8">
        <f t="shared" si="0"/>
        <v>0</v>
      </c>
      <c r="G9" s="18">
        <v>19519.689999999999</v>
      </c>
      <c r="H9" s="9" t="s">
        <v>21</v>
      </c>
      <c r="I9" s="5" t="s">
        <v>24</v>
      </c>
      <c r="J9" s="6">
        <f>+C9+90</f>
        <v>46132</v>
      </c>
      <c r="K9" s="10">
        <f t="shared" ca="1" si="1"/>
        <v>54</v>
      </c>
      <c r="L9" s="5"/>
    </row>
    <row r="10" spans="1:13" x14ac:dyDescent="0.3">
      <c r="A10" s="1"/>
      <c r="B10" s="5">
        <v>6</v>
      </c>
      <c r="C10" s="6">
        <v>46050</v>
      </c>
      <c r="D10" s="4" t="s">
        <v>25</v>
      </c>
      <c r="E10" s="7">
        <v>28290.35</v>
      </c>
      <c r="F10" s="8">
        <f t="shared" si="0"/>
        <v>0</v>
      </c>
      <c r="G10" s="18">
        <v>28290.35</v>
      </c>
      <c r="H10" s="11" t="s">
        <v>19</v>
      </c>
      <c r="I10" s="5" t="s">
        <v>26</v>
      </c>
      <c r="J10" s="6">
        <f>+C10+120</f>
        <v>46170</v>
      </c>
      <c r="K10" s="10">
        <f t="shared" ca="1" si="1"/>
        <v>16</v>
      </c>
      <c r="L10" s="5"/>
      <c r="M10" s="19">
        <f>SUM(G6:G10)</f>
        <v>114404.35</v>
      </c>
    </row>
    <row r="11" spans="1:13" x14ac:dyDescent="0.3">
      <c r="A11" s="1"/>
      <c r="B11" s="5">
        <v>7</v>
      </c>
      <c r="C11" s="6">
        <v>46147</v>
      </c>
      <c r="D11" s="4" t="s">
        <v>27</v>
      </c>
      <c r="E11" s="12">
        <v>43522.13</v>
      </c>
      <c r="F11" s="8">
        <f t="shared" si="0"/>
        <v>0</v>
      </c>
      <c r="G11" s="8">
        <v>43522.13</v>
      </c>
      <c r="H11" s="13" t="s">
        <v>19</v>
      </c>
      <c r="I11" s="5" t="s">
        <v>28</v>
      </c>
      <c r="J11" s="6">
        <f>+C11+120</f>
        <v>46267</v>
      </c>
      <c r="K11" s="10">
        <f t="shared" ca="1" si="1"/>
        <v>-81</v>
      </c>
      <c r="L11" s="5"/>
    </row>
    <row r="12" spans="1:13" x14ac:dyDescent="0.3">
      <c r="A12" s="1"/>
      <c r="B12" s="5">
        <v>8</v>
      </c>
      <c r="C12" s="6">
        <v>46147</v>
      </c>
      <c r="D12" s="4" t="s">
        <v>29</v>
      </c>
      <c r="E12" s="12">
        <v>43522.13</v>
      </c>
      <c r="F12" s="8">
        <f t="shared" si="0"/>
        <v>0</v>
      </c>
      <c r="G12" s="8">
        <v>43522.13</v>
      </c>
      <c r="H12" s="13" t="s">
        <v>19</v>
      </c>
      <c r="I12" s="5" t="s">
        <v>30</v>
      </c>
      <c r="J12" s="6">
        <f>+C12+120</f>
        <v>46267</v>
      </c>
      <c r="K12" s="10">
        <f t="shared" ca="1" si="1"/>
        <v>-81</v>
      </c>
      <c r="L12" s="5"/>
    </row>
    <row r="13" spans="1:13" x14ac:dyDescent="0.3">
      <c r="A13" s="1"/>
      <c r="B13" s="5">
        <v>9</v>
      </c>
      <c r="C13" s="6">
        <v>46147</v>
      </c>
      <c r="D13" s="14" t="s">
        <v>31</v>
      </c>
      <c r="E13" s="12">
        <v>43522.13</v>
      </c>
      <c r="F13" s="8">
        <f t="shared" si="0"/>
        <v>0</v>
      </c>
      <c r="G13" s="8">
        <v>43522.13</v>
      </c>
      <c r="H13" s="13" t="s">
        <v>19</v>
      </c>
      <c r="I13" s="5" t="s">
        <v>32</v>
      </c>
      <c r="J13" s="6">
        <f>+C13+120</f>
        <v>46267</v>
      </c>
      <c r="K13" s="10">
        <f t="shared" ca="1" si="1"/>
        <v>-81</v>
      </c>
      <c r="L13" s="5"/>
    </row>
    <row r="14" spans="1:13" x14ac:dyDescent="0.3">
      <c r="A14" s="1"/>
      <c r="B14" s="5">
        <v>10</v>
      </c>
      <c r="C14" s="6">
        <v>46147</v>
      </c>
      <c r="D14" s="14" t="s">
        <v>33</v>
      </c>
      <c r="E14" s="12">
        <v>44066.17</v>
      </c>
      <c r="F14" s="8">
        <f t="shared" si="0"/>
        <v>0</v>
      </c>
      <c r="G14" s="8">
        <v>44066.17</v>
      </c>
      <c r="H14" s="13" t="s">
        <v>19</v>
      </c>
      <c r="I14" s="5" t="s">
        <v>34</v>
      </c>
      <c r="J14" s="6">
        <f>+C14+120</f>
        <v>46267</v>
      </c>
      <c r="K14" s="10">
        <f t="shared" ca="1" si="1"/>
        <v>-81</v>
      </c>
      <c r="L14" s="5"/>
    </row>
    <row r="15" spans="1:13" x14ac:dyDescent="0.3">
      <c r="A15" s="1"/>
      <c r="B15" s="22" t="s">
        <v>35</v>
      </c>
      <c r="C15" s="23"/>
      <c r="D15" s="24"/>
      <c r="E15" s="15">
        <f>SUM(E6:E14)</f>
        <v>348688.54</v>
      </c>
      <c r="F15" s="15">
        <f>SUM(F6:F14)</f>
        <v>59651.630000000005</v>
      </c>
      <c r="G15" s="15">
        <f>SUM(G6:G14)</f>
        <v>289036.91000000003</v>
      </c>
      <c r="H15" s="15"/>
      <c r="I15" s="16"/>
      <c r="J15" s="16"/>
      <c r="K15" s="16"/>
      <c r="L15" s="16"/>
    </row>
    <row r="17" spans="6:6" x14ac:dyDescent="0.3">
      <c r="F17" s="17"/>
    </row>
  </sheetData>
  <mergeCells count="3">
    <mergeCell ref="B2:D2"/>
    <mergeCell ref="E2:F2"/>
    <mergeCell ref="B15:D15"/>
  </mergeCells>
  <pageMargins left="0.70866141732283472" right="0.70866141732283472" top="0.74803149606299213" bottom="0.74803149606299213" header="0.31496062992125984" footer="0.31496062992125984"/>
  <pageSetup scale="7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DHANU</dc:creator>
  <cp:lastModifiedBy>DHANU</cp:lastModifiedBy>
  <cp:lastPrinted>2026-06-13T06:03:52Z</cp:lastPrinted>
  <dcterms:created xsi:type="dcterms:W3CDTF">2026-06-06T05:53:27Z</dcterms:created>
  <dcterms:modified xsi:type="dcterms:W3CDTF">2026-06-13T06:03:56Z</dcterms:modified>
</cp:coreProperties>
</file>